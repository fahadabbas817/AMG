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2025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Can add these in Manually each month before uploading
</t>
      </text>
    </comment>
  </commentList>
</comments>
</file>

<file path=xl/sharedStrings.xml><?xml version="1.0" encoding="utf-8"?>
<sst xmlns="http://schemas.openxmlformats.org/spreadsheetml/2006/main" count="59" uniqueCount="48">
  <si>
    <t>Video-on-Demand - Malavita - Portugal</t>
  </si>
  <si>
    <t>All Media Group</t>
  </si>
  <si>
    <t>Reporting Month: June 2025</t>
  </si>
  <si>
    <t>Vendor ID</t>
  </si>
  <si>
    <t>Título</t>
  </si>
  <si>
    <t>Studio</t>
  </si>
  <si>
    <t>VOD Revenue</t>
  </si>
  <si>
    <t>Malavita (%)</t>
  </si>
  <si>
    <t>AMG (%)</t>
  </si>
  <si>
    <t>Cost (eur)</t>
  </si>
  <si>
    <t>Curvy Latina DP's</t>
  </si>
  <si>
    <t>Hot hot films</t>
  </si>
  <si>
    <t>2 Girls Tag Team Black Dick</t>
  </si>
  <si>
    <t>Rome major</t>
  </si>
  <si>
    <t>Big Tit Thick Milfs</t>
  </si>
  <si>
    <t>Pornmegaload</t>
  </si>
  <si>
    <t>Bareback Trans Roommates</t>
  </si>
  <si>
    <t>Interracial Japanese Creampies 2</t>
  </si>
  <si>
    <t>Japornxxx</t>
  </si>
  <si>
    <t>Submissive Sissy Maids</t>
  </si>
  <si>
    <t>Becoming femme</t>
  </si>
  <si>
    <t>Slutty Step Mommy 2</t>
  </si>
  <si>
    <t>Fpn</t>
  </si>
  <si>
    <t>Mature Trans Starlets</t>
  </si>
  <si>
    <t>Pure ts</t>
  </si>
  <si>
    <t>Juicy Massage Rooms</t>
  </si>
  <si>
    <t>Good porn</t>
  </si>
  <si>
    <t>Amateur Bbw Dp Party</t>
  </si>
  <si>
    <t>Young Natural &amp; Hairy</t>
  </si>
  <si>
    <t>Tyjam</t>
  </si>
  <si>
    <t>Massive Bbw Threesomes 7</t>
  </si>
  <si>
    <t>Pure bbw</t>
  </si>
  <si>
    <t>Foursome Interracial Fucking</t>
  </si>
  <si>
    <t>Rim My Black Ass</t>
  </si>
  <si>
    <t>2 Cocks Vs 1 Granny</t>
  </si>
  <si>
    <t>Gilf Monster Tits</t>
  </si>
  <si>
    <t>Big Booty Babes</t>
  </si>
  <si>
    <t>Mommy's Extreme Orgy Party</t>
  </si>
  <si>
    <t>Provocative</t>
  </si>
  <si>
    <t>Bbw Superstars 2</t>
  </si>
  <si>
    <t>Extra Wet Japanese Amateurs</t>
  </si>
  <si>
    <t>Obokozu</t>
  </si>
  <si>
    <t>Transformed Into A Sissy Maid</t>
  </si>
  <si>
    <t>Dtf sluts</t>
  </si>
  <si>
    <t>Interracial Japanese Threesomes</t>
  </si>
  <si>
    <t>My Grandma Does Anal</t>
  </si>
  <si>
    <t>Supersize Bbw Babes Vol. 6</t>
  </si>
  <si>
    <t>Monthly Payment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</si>
</sst>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\ &quot;€&quot;_-;\-* #,##0.00\ &quot;€&quot;_-;_-* &quot;-&quot;??\ &quot;€&quot;_-;_-@"/>
  </numFmts>
  <fonts count="9">
    <font>
      <sz val="10.0"/>
      <color rgb="FF000000"/>
      <name val="Arial"/>
      <scheme val="minor"/>
    </font>
    <font>
      <b/>
      <sz val="16.0"/>
      <color theme="1"/>
      <name val="Arial"/>
    </font>
    <font>
      <sz val="10.0"/>
      <color theme="1"/>
      <name val="Arial"/>
    </font>
    <font>
      <b/>
      <sz val="14.0"/>
      <color theme="1"/>
      <name val="Arial"/>
    </font>
    <font>
      <b/>
      <sz val="12.0"/>
      <color theme="1"/>
      <name val="Arial"/>
    </font>
    <font>
      <i/>
      <sz val="12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2" numFmtId="0" xfId="0" applyAlignment="1" applyFont="1">
      <alignment readingOrder="0" shrinkToFit="0" vertical="bottom" wrapText="0"/>
    </xf>
    <xf borderId="2" fillId="0" fontId="6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shrinkToFit="0" vertical="bottom" wrapText="0"/>
    </xf>
    <xf borderId="0" fillId="0" fontId="2" numFmtId="2" xfId="0" applyAlignment="1" applyFont="1" applyNumberFormat="1">
      <alignment shrinkToFit="0" vertical="bottom" wrapText="0"/>
    </xf>
    <xf borderId="0" fillId="0" fontId="7" numFmtId="9" xfId="0" applyAlignment="1" applyFont="1" applyNumberFormat="1">
      <alignment horizontal="right" shrinkToFit="0" vertical="bottom" wrapText="1"/>
    </xf>
    <xf borderId="0" fillId="0" fontId="7" numFmtId="164" xfId="0" applyAlignment="1" applyFont="1" applyNumberFormat="1">
      <alignment shrinkToFit="0" vertical="bottom" wrapText="1"/>
    </xf>
    <xf borderId="3" fillId="0" fontId="8" numFmtId="0" xfId="0" applyAlignment="1" applyBorder="1" applyFont="1">
      <alignment shrinkToFit="0" vertical="bottom" wrapText="0"/>
    </xf>
    <xf borderId="2" fillId="0" fontId="8" numFmtId="0" xfId="0" applyAlignment="1" applyBorder="1" applyFont="1">
      <alignment shrinkToFit="0" vertical="bottom" wrapText="0"/>
    </xf>
    <xf borderId="4" fillId="0" fontId="8" numFmtId="16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0.63"/>
    <col customWidth="1" min="6" max="6" width="16.0"/>
    <col customWidth="1" min="7" max="10" width="12.63"/>
    <col customWidth="1" min="11" max="11" width="6.38"/>
    <col customWidth="1" min="12" max="26" width="8.0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7.25" customHeight="1">
      <c r="A2" s="4" t="s">
        <v>1</v>
      </c>
      <c r="B2" s="5"/>
      <c r="C2" s="5"/>
      <c r="D2" s="5"/>
      <c r="E2" s="5"/>
      <c r="F2" s="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6" t="s">
        <v>2</v>
      </c>
      <c r="B3" s="5"/>
      <c r="C3" s="5"/>
      <c r="D3" s="5"/>
      <c r="E3" s="5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6.25" customHeight="1">
      <c r="A5" s="7" t="s">
        <v>3</v>
      </c>
      <c r="B5" s="8" t="s">
        <v>4</v>
      </c>
      <c r="C5" s="9"/>
      <c r="D5" s="9"/>
      <c r="E5" s="9"/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3"/>
      <c r="B6" s="3" t="s">
        <v>10</v>
      </c>
      <c r="C6" s="3"/>
      <c r="D6" s="3"/>
      <c r="E6" s="3"/>
      <c r="F6" s="3" t="s">
        <v>11</v>
      </c>
      <c r="G6" s="10">
        <v>48.138963252032504</v>
      </c>
      <c r="H6" s="11">
        <v>0.5</v>
      </c>
      <c r="I6" s="11">
        <v>0.5</v>
      </c>
      <c r="J6" s="12">
        <f t="shared" ref="J6:J29" si="1">G6*I6</f>
        <v>24.06948163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3"/>
      <c r="B7" s="3" t="s">
        <v>12</v>
      </c>
      <c r="C7" s="3"/>
      <c r="D7" s="3"/>
      <c r="E7" s="3"/>
      <c r="F7" s="3" t="s">
        <v>13</v>
      </c>
      <c r="G7" s="10">
        <v>37.323479999999996</v>
      </c>
      <c r="H7" s="11">
        <v>0.5</v>
      </c>
      <c r="I7" s="11">
        <v>0.5</v>
      </c>
      <c r="J7" s="12">
        <f t="shared" si="1"/>
        <v>18.66174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3"/>
      <c r="B8" s="3" t="s">
        <v>14</v>
      </c>
      <c r="C8" s="3"/>
      <c r="D8" s="3"/>
      <c r="E8" s="3"/>
      <c r="F8" s="3" t="s">
        <v>15</v>
      </c>
      <c r="G8" s="10">
        <v>31.356296260162598</v>
      </c>
      <c r="H8" s="11">
        <v>0.5</v>
      </c>
      <c r="I8" s="11">
        <v>0.5</v>
      </c>
      <c r="J8" s="12">
        <f t="shared" si="1"/>
        <v>15.67814813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3"/>
      <c r="B9" s="3" t="s">
        <v>16</v>
      </c>
      <c r="C9" s="3"/>
      <c r="D9" s="3"/>
      <c r="E9" s="3"/>
      <c r="F9" s="3" t="s">
        <v>11</v>
      </c>
      <c r="G9" s="10">
        <v>23.7888130081301</v>
      </c>
      <c r="H9" s="11">
        <v>0.5</v>
      </c>
      <c r="I9" s="11">
        <v>0.5</v>
      </c>
      <c r="J9" s="12">
        <f t="shared" si="1"/>
        <v>11.8944065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3"/>
      <c r="B10" s="3" t="s">
        <v>17</v>
      </c>
      <c r="C10" s="3"/>
      <c r="D10" s="3"/>
      <c r="E10" s="3"/>
      <c r="F10" s="3" t="s">
        <v>18</v>
      </c>
      <c r="G10" s="10">
        <v>20.803951219512</v>
      </c>
      <c r="H10" s="11">
        <v>0.5</v>
      </c>
      <c r="I10" s="11">
        <v>0.5</v>
      </c>
      <c r="J10" s="12">
        <f t="shared" si="1"/>
        <v>10.40197561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3"/>
      <c r="B11" s="3" t="s">
        <v>19</v>
      </c>
      <c r="C11" s="3"/>
      <c r="D11" s="3"/>
      <c r="E11" s="3"/>
      <c r="F11" s="3" t="s">
        <v>20</v>
      </c>
      <c r="G11" s="10">
        <v>18.278455284553</v>
      </c>
      <c r="H11" s="11">
        <v>0.5</v>
      </c>
      <c r="I11" s="11">
        <v>0.5</v>
      </c>
      <c r="J11" s="12">
        <f t="shared" si="1"/>
        <v>9.139227642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3"/>
      <c r="B12" s="3" t="s">
        <v>21</v>
      </c>
      <c r="C12" s="3"/>
      <c r="D12" s="3"/>
      <c r="E12" s="3"/>
      <c r="F12" s="3" t="s">
        <v>22</v>
      </c>
      <c r="G12" s="10">
        <v>17.14837398374</v>
      </c>
      <c r="H12" s="11">
        <v>0.5</v>
      </c>
      <c r="I12" s="11">
        <v>0.5</v>
      </c>
      <c r="J12" s="12">
        <f t="shared" si="1"/>
        <v>8.574186992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3"/>
      <c r="B13" s="3" t="s">
        <v>23</v>
      </c>
      <c r="C13" s="3"/>
      <c r="D13" s="3"/>
      <c r="E13" s="3"/>
      <c r="F13" s="3" t="s">
        <v>24</v>
      </c>
      <c r="G13" s="10">
        <v>10.752032520325</v>
      </c>
      <c r="H13" s="11">
        <v>0.5</v>
      </c>
      <c r="I13" s="11">
        <v>0.5</v>
      </c>
      <c r="J13" s="12">
        <f t="shared" si="1"/>
        <v>5.37601626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3"/>
      <c r="B14" s="3" t="s">
        <v>25</v>
      </c>
      <c r="C14" s="3"/>
      <c r="D14" s="3"/>
      <c r="E14" s="3"/>
      <c r="F14" s="3" t="s">
        <v>26</v>
      </c>
      <c r="G14" s="10">
        <v>10.556</v>
      </c>
      <c r="H14" s="11">
        <v>0.5</v>
      </c>
      <c r="I14" s="11">
        <v>0.5</v>
      </c>
      <c r="J14" s="12">
        <f t="shared" si="1"/>
        <v>5.278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3"/>
      <c r="B15" s="3" t="s">
        <v>27</v>
      </c>
      <c r="C15" s="3"/>
      <c r="D15" s="3"/>
      <c r="E15" s="3"/>
      <c r="F15" s="3" t="s">
        <v>22</v>
      </c>
      <c r="G15" s="10">
        <v>9.1504227642276</v>
      </c>
      <c r="H15" s="11">
        <v>0.5</v>
      </c>
      <c r="I15" s="11">
        <v>0.5</v>
      </c>
      <c r="J15" s="12">
        <f t="shared" si="1"/>
        <v>4.575211382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3"/>
      <c r="B16" s="3" t="s">
        <v>28</v>
      </c>
      <c r="C16" s="3"/>
      <c r="D16" s="3"/>
      <c r="E16" s="3"/>
      <c r="F16" s="3" t="s">
        <v>29</v>
      </c>
      <c r="G16" s="10">
        <v>9.1504227642276</v>
      </c>
      <c r="H16" s="11">
        <v>0.5</v>
      </c>
      <c r="I16" s="11">
        <v>0.5</v>
      </c>
      <c r="J16" s="12">
        <f t="shared" si="1"/>
        <v>4.575211382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3"/>
      <c r="B17" s="3" t="s">
        <v>30</v>
      </c>
      <c r="C17" s="3"/>
      <c r="D17" s="3"/>
      <c r="E17" s="3"/>
      <c r="F17" s="3" t="s">
        <v>31</v>
      </c>
      <c r="G17" s="10">
        <v>8.096369756097602</v>
      </c>
      <c r="H17" s="11">
        <v>0.5</v>
      </c>
      <c r="I17" s="11">
        <v>0.5</v>
      </c>
      <c r="J17" s="12">
        <f t="shared" si="1"/>
        <v>4.048184878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"/>
      <c r="B18" s="3" t="s">
        <v>32</v>
      </c>
      <c r="C18" s="3"/>
      <c r="D18" s="3"/>
      <c r="E18" s="3"/>
      <c r="F18" s="3" t="s">
        <v>13</v>
      </c>
      <c r="G18" s="10">
        <v>8.0938897560976</v>
      </c>
      <c r="H18" s="11">
        <v>0.5</v>
      </c>
      <c r="I18" s="11">
        <v>0.5</v>
      </c>
      <c r="J18" s="12">
        <f t="shared" si="1"/>
        <v>4.046944878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"/>
      <c r="B19" s="3" t="s">
        <v>33</v>
      </c>
      <c r="C19" s="3"/>
      <c r="D19" s="3"/>
      <c r="E19" s="3"/>
      <c r="F19" s="3" t="s">
        <v>13</v>
      </c>
      <c r="G19" s="10">
        <v>7.5264227642276</v>
      </c>
      <c r="H19" s="11">
        <v>0.5</v>
      </c>
      <c r="I19" s="11">
        <v>0.5</v>
      </c>
      <c r="J19" s="12">
        <f t="shared" si="1"/>
        <v>3.763211382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/>
      <c r="B20" s="3" t="s">
        <v>34</v>
      </c>
      <c r="C20" s="3"/>
      <c r="D20" s="3"/>
      <c r="E20" s="3"/>
      <c r="F20" s="3" t="s">
        <v>15</v>
      </c>
      <c r="G20" s="10">
        <v>7.021166504065</v>
      </c>
      <c r="H20" s="11">
        <v>0.5</v>
      </c>
      <c r="I20" s="11">
        <v>0.5</v>
      </c>
      <c r="J20" s="12">
        <f t="shared" si="1"/>
        <v>3.510583252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3" t="s">
        <v>35</v>
      </c>
      <c r="C21" s="3"/>
      <c r="D21" s="3"/>
      <c r="E21" s="3"/>
      <c r="F21" s="3" t="s">
        <v>15</v>
      </c>
      <c r="G21" s="10">
        <v>6.9987762601626</v>
      </c>
      <c r="H21" s="11">
        <v>0.5</v>
      </c>
      <c r="I21" s="11">
        <v>0.5</v>
      </c>
      <c r="J21" s="12">
        <f t="shared" si="1"/>
        <v>3.49938813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3" t="s">
        <v>36</v>
      </c>
      <c r="C22" s="3"/>
      <c r="D22" s="3"/>
      <c r="E22" s="3"/>
      <c r="F22" s="3" t="s">
        <v>31</v>
      </c>
      <c r="G22" s="10">
        <v>6.4512195121951</v>
      </c>
      <c r="H22" s="11">
        <v>0.5</v>
      </c>
      <c r="I22" s="11">
        <v>0.5</v>
      </c>
      <c r="J22" s="12">
        <f t="shared" si="1"/>
        <v>3.225609756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/>
      <c r="B23" s="3" t="s">
        <v>37</v>
      </c>
      <c r="C23" s="3"/>
      <c r="D23" s="3"/>
      <c r="E23" s="3"/>
      <c r="F23" s="3" t="s">
        <v>38</v>
      </c>
      <c r="G23" s="10">
        <v>3.248</v>
      </c>
      <c r="H23" s="11">
        <v>0.5</v>
      </c>
      <c r="I23" s="11">
        <v>0.5</v>
      </c>
      <c r="J23" s="12">
        <f t="shared" si="1"/>
        <v>1.624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3" t="s">
        <v>39</v>
      </c>
      <c r="C24" s="3"/>
      <c r="D24" s="3"/>
      <c r="E24" s="3"/>
      <c r="F24" s="3" t="s">
        <v>31</v>
      </c>
      <c r="G24" s="10">
        <v>3.2256097560976</v>
      </c>
      <c r="H24" s="11">
        <v>0.5</v>
      </c>
      <c r="I24" s="11">
        <v>0.5</v>
      </c>
      <c r="J24" s="12">
        <f t="shared" si="1"/>
        <v>1.612804878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"/>
      <c r="B25" s="3" t="s">
        <v>40</v>
      </c>
      <c r="C25" s="3"/>
      <c r="D25" s="3"/>
      <c r="E25" s="3"/>
      <c r="F25" s="3" t="s">
        <v>41</v>
      </c>
      <c r="G25" s="10">
        <v>3.2256097560976</v>
      </c>
      <c r="H25" s="11">
        <v>0.5</v>
      </c>
      <c r="I25" s="11">
        <v>0.5</v>
      </c>
      <c r="J25" s="12">
        <f t="shared" si="1"/>
        <v>1.612804878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/>
      <c r="B26" s="3" t="s">
        <v>42</v>
      </c>
      <c r="C26" s="3"/>
      <c r="D26" s="3"/>
      <c r="E26" s="3"/>
      <c r="F26" s="3" t="s">
        <v>43</v>
      </c>
      <c r="G26" s="10">
        <v>1.3191056910569</v>
      </c>
      <c r="H26" s="11">
        <v>0.5</v>
      </c>
      <c r="I26" s="11">
        <v>0.5</v>
      </c>
      <c r="J26" s="12">
        <f t="shared" si="1"/>
        <v>0.6595528455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/>
      <c r="B27" s="3" t="s">
        <v>44</v>
      </c>
      <c r="C27" s="3"/>
      <c r="D27" s="3"/>
      <c r="E27" s="3"/>
      <c r="F27" s="3" t="s">
        <v>18</v>
      </c>
      <c r="G27" s="10">
        <v>1.0752032520325</v>
      </c>
      <c r="H27" s="11">
        <v>0.5</v>
      </c>
      <c r="I27" s="11">
        <v>0.5</v>
      </c>
      <c r="J27" s="12">
        <f t="shared" si="1"/>
        <v>0.537601626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3" t="s">
        <v>45</v>
      </c>
      <c r="C28" s="3"/>
      <c r="D28" s="3"/>
      <c r="E28" s="3"/>
      <c r="F28" s="3" t="s">
        <v>15</v>
      </c>
      <c r="G28" s="10">
        <v>1.0752032520325</v>
      </c>
      <c r="H28" s="11">
        <v>0.5</v>
      </c>
      <c r="I28" s="11">
        <v>0.5</v>
      </c>
      <c r="J28" s="12">
        <f t="shared" si="1"/>
        <v>0.537601626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3" t="s">
        <v>46</v>
      </c>
      <c r="C29" s="3"/>
      <c r="D29" s="3"/>
      <c r="E29" s="3"/>
      <c r="F29" s="3" t="s">
        <v>31</v>
      </c>
      <c r="G29" s="10">
        <v>1.0752032520325</v>
      </c>
      <c r="H29" s="11">
        <v>0.5</v>
      </c>
      <c r="I29" s="11">
        <v>0.5</v>
      </c>
      <c r="J29" s="12">
        <f t="shared" si="1"/>
        <v>0.537601626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3"/>
      <c r="C31" s="3"/>
      <c r="D31" s="3"/>
      <c r="E31" s="3"/>
      <c r="F31" s="3"/>
      <c r="G31" s="3"/>
      <c r="H31" s="13" t="s">
        <v>47</v>
      </c>
      <c r="I31" s="14"/>
      <c r="J31" s="15">
        <f>SUM(J6:J29)</f>
        <v>147.4394953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10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2"/>
  <legacyDrawing r:id="rId3"/>
</worksheet>
</file>