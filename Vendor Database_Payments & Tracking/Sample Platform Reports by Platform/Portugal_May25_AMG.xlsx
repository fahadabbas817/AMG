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52025" sheetId="1" r:id="rId4"/>
  </sheets>
  <definedNames/>
  <calcPr/>
</workbook>
</file>

<file path=xl/sharedStrings.xml><?xml version="1.0" encoding="utf-8"?>
<sst xmlns="http://schemas.openxmlformats.org/spreadsheetml/2006/main" count="54" uniqueCount="41">
  <si>
    <t>Video-on-Demand - Malavita - Portugal</t>
  </si>
  <si>
    <t>All Media Group</t>
  </si>
  <si>
    <t>Reporting Month: May 2025</t>
  </si>
  <si>
    <t>Título</t>
  </si>
  <si>
    <t>Studio</t>
  </si>
  <si>
    <t>VOD Revenue</t>
  </si>
  <si>
    <t>Malavita (%)</t>
  </si>
  <si>
    <t>AMG (%)</t>
  </si>
  <si>
    <t>Cost (eur)</t>
  </si>
  <si>
    <t>2 Girls Tag Team Black Dick</t>
  </si>
  <si>
    <t>Rome major</t>
  </si>
  <si>
    <t>Slutty Step Mommy 2</t>
  </si>
  <si>
    <t>Fpn</t>
  </si>
  <si>
    <t>Gilf Monster Tits</t>
  </si>
  <si>
    <t>Pornmegaload</t>
  </si>
  <si>
    <t>Foursome Interracial Fucking</t>
  </si>
  <si>
    <t>2 Cocks Vs 1 Granny</t>
  </si>
  <si>
    <t>Bareback Trans Roommates</t>
  </si>
  <si>
    <t>Hot hot films</t>
  </si>
  <si>
    <t>Massive Bbw Threesomes 7</t>
  </si>
  <si>
    <t>Pure bbw</t>
  </si>
  <si>
    <t>Young Natural &amp; Hairy</t>
  </si>
  <si>
    <t>Tyjam</t>
  </si>
  <si>
    <t>Supersize Bbw Babes Vol. 6</t>
  </si>
  <si>
    <t>Bbw Superstars 2</t>
  </si>
  <si>
    <t>My Grandma Does Anal</t>
  </si>
  <si>
    <t>Interracial Japanese Creampies 2</t>
  </si>
  <si>
    <t>Japornxxx</t>
  </si>
  <si>
    <t>Transformed Into A Sissy Maid</t>
  </si>
  <si>
    <t>Dtf sluts</t>
  </si>
  <si>
    <t>Milfs Get Piledrived!</t>
  </si>
  <si>
    <t>Rim My Black Ass</t>
  </si>
  <si>
    <t>Mommy's Extreme Orgy Party</t>
  </si>
  <si>
    <t>Provocative</t>
  </si>
  <si>
    <t>Supreme Milf Pussy</t>
  </si>
  <si>
    <t>Interracial Japanese Threesomes</t>
  </si>
  <si>
    <t>Big Tit Thick Milfs</t>
  </si>
  <si>
    <t>Latinas Like It Black</t>
  </si>
  <si>
    <t>2 Or More Big Black Cocks</t>
  </si>
  <si>
    <t>Bushy Teen Facials</t>
  </si>
  <si>
    <t>Monthly Payment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</si>
</sst>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.00\ &quot;€&quot;_-;\-* #,##0.00\ &quot;€&quot;_-;_-* &quot;-&quot;??\ &quot;€&quot;_-;_-@"/>
  </numFmts>
  <fonts count="9">
    <font>
      <sz val="10.0"/>
      <color rgb="FF000000"/>
      <name val="Arial"/>
      <scheme val="minor"/>
    </font>
    <font>
      <b/>
      <sz val="16.0"/>
      <color theme="1"/>
      <name val="Arial"/>
    </font>
    <font>
      <sz val="10.0"/>
      <color theme="1"/>
      <name val="Arial"/>
    </font>
    <font>
      <b/>
      <sz val="14.0"/>
      <color theme="1"/>
      <name val="Arial"/>
    </font>
    <font>
      <b/>
      <sz val="12.0"/>
      <color theme="1"/>
      <name val="Arial"/>
    </font>
    <font>
      <i/>
      <sz val="12.0"/>
      <color theme="1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horizontal="left" shrinkToFit="0" vertical="bottom" wrapText="0"/>
    </xf>
    <xf borderId="2" fillId="0" fontId="6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shrinkToFit="0" vertical="bottom" wrapText="0"/>
    </xf>
    <xf borderId="0" fillId="0" fontId="2" numFmtId="2" xfId="0" applyAlignment="1" applyFont="1" applyNumberFormat="1">
      <alignment shrinkToFit="0" vertical="bottom" wrapText="0"/>
    </xf>
    <xf borderId="0" fillId="0" fontId="7" numFmtId="9" xfId="0" applyAlignment="1" applyFont="1" applyNumberFormat="1">
      <alignment horizontal="right" shrinkToFit="0" vertical="bottom" wrapText="1"/>
    </xf>
    <xf borderId="0" fillId="0" fontId="7" numFmtId="164" xfId="0" applyAlignment="1" applyFont="1" applyNumberFormat="1">
      <alignment shrinkToFit="0" vertical="bottom" wrapText="1"/>
    </xf>
    <xf borderId="3" fillId="0" fontId="8" numFmtId="0" xfId="0" applyAlignment="1" applyBorder="1" applyFont="1">
      <alignment shrinkToFit="0" vertical="bottom" wrapText="0"/>
    </xf>
    <xf borderId="2" fillId="0" fontId="8" numFmtId="0" xfId="0" applyAlignment="1" applyBorder="1" applyFont="1">
      <alignment shrinkToFit="0" vertical="bottom" wrapText="0"/>
    </xf>
    <xf borderId="4" fillId="0" fontId="8" numFmtId="164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10.63"/>
    <col customWidth="1" min="6" max="6" width="16.0"/>
    <col customWidth="1" min="7" max="10" width="12.63"/>
    <col customWidth="1" min="11" max="11" width="6.38"/>
    <col customWidth="1" min="12" max="26" width="8.0"/>
  </cols>
  <sheetData>
    <row r="1" ht="21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7.25" customHeight="1">
      <c r="A2" s="4" t="s">
        <v>1</v>
      </c>
      <c r="B2" s="5"/>
      <c r="C2" s="5"/>
      <c r="D2" s="5"/>
      <c r="E2" s="5"/>
      <c r="F2" s="5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6" t="s">
        <v>2</v>
      </c>
      <c r="B3" s="5"/>
      <c r="C3" s="5"/>
      <c r="D3" s="5"/>
      <c r="E3" s="5"/>
      <c r="F3" s="5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6.25" customHeight="1">
      <c r="A5" s="3"/>
      <c r="B5" s="7" t="s">
        <v>3</v>
      </c>
      <c r="C5" s="8"/>
      <c r="D5" s="8"/>
      <c r="E5" s="8"/>
      <c r="F5" s="7" t="s">
        <v>4</v>
      </c>
      <c r="G5" s="7" t="s">
        <v>5</v>
      </c>
      <c r="H5" s="7" t="s">
        <v>6</v>
      </c>
      <c r="I5" s="7" t="s">
        <v>7</v>
      </c>
      <c r="J5" s="7" t="s">
        <v>8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2.75" customHeight="1">
      <c r="A6" s="3"/>
      <c r="B6" s="3" t="s">
        <v>9</v>
      </c>
      <c r="C6" s="3"/>
      <c r="D6" s="3"/>
      <c r="E6" s="3"/>
      <c r="F6" s="3" t="s">
        <v>10</v>
      </c>
      <c r="G6" s="9">
        <v>56.2490432520325</v>
      </c>
      <c r="H6" s="10">
        <v>0.5</v>
      </c>
      <c r="I6" s="10">
        <v>0.5</v>
      </c>
      <c r="J6" s="11">
        <f t="shared" ref="J6:J27" si="1">G6*I6</f>
        <v>28.12452163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75" customHeight="1">
      <c r="A7" s="3"/>
      <c r="B7" s="3" t="s">
        <v>11</v>
      </c>
      <c r="C7" s="3"/>
      <c r="D7" s="3"/>
      <c r="E7" s="3"/>
      <c r="F7" s="3" t="s">
        <v>12</v>
      </c>
      <c r="G7" s="9">
        <v>32.256097560976</v>
      </c>
      <c r="H7" s="10">
        <v>0.5</v>
      </c>
      <c r="I7" s="10">
        <v>0.5</v>
      </c>
      <c r="J7" s="11">
        <f t="shared" si="1"/>
        <v>16.12804878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75" customHeight="1">
      <c r="A8" s="3"/>
      <c r="B8" s="3" t="s">
        <v>13</v>
      </c>
      <c r="C8" s="3"/>
      <c r="D8" s="3"/>
      <c r="E8" s="3"/>
      <c r="F8" s="3" t="s">
        <v>14</v>
      </c>
      <c r="G8" s="9">
        <v>27.50727902439</v>
      </c>
      <c r="H8" s="10">
        <v>0.5</v>
      </c>
      <c r="I8" s="10">
        <v>0.5</v>
      </c>
      <c r="J8" s="11">
        <f t="shared" si="1"/>
        <v>13.75363951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75" customHeight="1">
      <c r="A9" s="3"/>
      <c r="B9" s="3" t="s">
        <v>15</v>
      </c>
      <c r="C9" s="3"/>
      <c r="D9" s="3"/>
      <c r="E9" s="3"/>
      <c r="F9" s="3" t="s">
        <v>10</v>
      </c>
      <c r="G9" s="9">
        <v>26.491806504065</v>
      </c>
      <c r="H9" s="10">
        <v>0.5</v>
      </c>
      <c r="I9" s="10">
        <v>0.5</v>
      </c>
      <c r="J9" s="11">
        <f t="shared" si="1"/>
        <v>13.24590325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75" customHeight="1">
      <c r="A10" s="3"/>
      <c r="B10" s="3" t="s">
        <v>16</v>
      </c>
      <c r="C10" s="3"/>
      <c r="D10" s="3"/>
      <c r="E10" s="3"/>
      <c r="F10" s="3" t="s">
        <v>14</v>
      </c>
      <c r="G10" s="9">
        <v>22.689979512195098</v>
      </c>
      <c r="H10" s="10">
        <v>0.5</v>
      </c>
      <c r="I10" s="10">
        <v>0.5</v>
      </c>
      <c r="J10" s="11">
        <f t="shared" si="1"/>
        <v>11.34498976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3"/>
      <c r="B11" s="3" t="s">
        <v>17</v>
      </c>
      <c r="C11" s="3"/>
      <c r="D11" s="3"/>
      <c r="E11" s="3"/>
      <c r="F11" s="3" t="s">
        <v>18</v>
      </c>
      <c r="G11" s="9">
        <v>19.461889756097598</v>
      </c>
      <c r="H11" s="10">
        <v>0.5</v>
      </c>
      <c r="I11" s="10">
        <v>0.5</v>
      </c>
      <c r="J11" s="11">
        <f t="shared" si="1"/>
        <v>9.730944878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3"/>
      <c r="B12" s="3" t="s">
        <v>19</v>
      </c>
      <c r="C12" s="3"/>
      <c r="D12" s="3"/>
      <c r="E12" s="3"/>
      <c r="F12" s="3" t="s">
        <v>20</v>
      </c>
      <c r="G12" s="9">
        <v>14.5488292682927</v>
      </c>
      <c r="H12" s="10">
        <v>0.5</v>
      </c>
      <c r="I12" s="10">
        <v>0.5</v>
      </c>
      <c r="J12" s="11">
        <f t="shared" si="1"/>
        <v>7.274414634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3"/>
      <c r="B13" s="3" t="s">
        <v>21</v>
      </c>
      <c r="C13" s="3"/>
      <c r="D13" s="3"/>
      <c r="E13" s="3"/>
      <c r="F13" s="3" t="s">
        <v>22</v>
      </c>
      <c r="G13" s="9">
        <v>7.5712032520325</v>
      </c>
      <c r="H13" s="10">
        <v>0.5</v>
      </c>
      <c r="I13" s="10">
        <v>0.5</v>
      </c>
      <c r="J13" s="11">
        <f t="shared" si="1"/>
        <v>3.785601626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3"/>
      <c r="B14" s="3" t="s">
        <v>23</v>
      </c>
      <c r="C14" s="3"/>
      <c r="D14" s="3"/>
      <c r="E14" s="3"/>
      <c r="F14" s="3" t="s">
        <v>20</v>
      </c>
      <c r="G14" s="9">
        <v>7.0000162601625995</v>
      </c>
      <c r="H14" s="10">
        <v>0.5</v>
      </c>
      <c r="I14" s="10">
        <v>0.5</v>
      </c>
      <c r="J14" s="11">
        <f t="shared" si="1"/>
        <v>3.50000813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3"/>
      <c r="B15" s="3" t="s">
        <v>24</v>
      </c>
      <c r="C15" s="3"/>
      <c r="D15" s="3"/>
      <c r="E15" s="3"/>
      <c r="F15" s="3" t="s">
        <v>20</v>
      </c>
      <c r="G15" s="9">
        <v>6.4711297560976</v>
      </c>
      <c r="H15" s="10">
        <v>0.5</v>
      </c>
      <c r="I15" s="10">
        <v>0.5</v>
      </c>
      <c r="J15" s="11">
        <f t="shared" si="1"/>
        <v>3.235564878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3"/>
      <c r="B16" s="3" t="s">
        <v>25</v>
      </c>
      <c r="C16" s="3"/>
      <c r="D16" s="3"/>
      <c r="E16" s="3"/>
      <c r="F16" s="3" t="s">
        <v>14</v>
      </c>
      <c r="G16" s="9">
        <v>5.3760162601626</v>
      </c>
      <c r="H16" s="10">
        <v>0.5</v>
      </c>
      <c r="I16" s="10">
        <v>0.5</v>
      </c>
      <c r="J16" s="11">
        <f t="shared" si="1"/>
        <v>2.68800813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3"/>
      <c r="B17" s="3" t="s">
        <v>26</v>
      </c>
      <c r="C17" s="3"/>
      <c r="D17" s="3"/>
      <c r="E17" s="3"/>
      <c r="F17" s="3" t="s">
        <v>27</v>
      </c>
      <c r="G17" s="9">
        <v>5.2764227642276</v>
      </c>
      <c r="H17" s="10">
        <v>0.5</v>
      </c>
      <c r="I17" s="10">
        <v>0.5</v>
      </c>
      <c r="J17" s="11">
        <f t="shared" si="1"/>
        <v>2.638211382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3"/>
      <c r="B18" s="3" t="s">
        <v>28</v>
      </c>
      <c r="C18" s="3"/>
      <c r="D18" s="3"/>
      <c r="E18" s="3"/>
      <c r="F18" s="3" t="s">
        <v>29</v>
      </c>
      <c r="G18" s="9">
        <v>3.7731665040649998</v>
      </c>
      <c r="H18" s="10">
        <v>0.5</v>
      </c>
      <c r="I18" s="10">
        <v>0.5</v>
      </c>
      <c r="J18" s="11">
        <f t="shared" si="1"/>
        <v>1.886583252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3"/>
      <c r="B19" s="3" t="s">
        <v>30</v>
      </c>
      <c r="C19" s="3"/>
      <c r="D19" s="3"/>
      <c r="E19" s="3"/>
      <c r="F19" s="3" t="s">
        <v>14</v>
      </c>
      <c r="G19" s="9">
        <v>3.2256097560976</v>
      </c>
      <c r="H19" s="10">
        <v>0.5</v>
      </c>
      <c r="I19" s="10">
        <v>0.5</v>
      </c>
      <c r="J19" s="11">
        <f t="shared" si="1"/>
        <v>1.612804878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3"/>
      <c r="B20" s="3" t="s">
        <v>31</v>
      </c>
      <c r="C20" s="3"/>
      <c r="D20" s="3"/>
      <c r="E20" s="3"/>
      <c r="F20" s="3" t="s">
        <v>10</v>
      </c>
      <c r="G20" s="9">
        <v>2.436</v>
      </c>
      <c r="H20" s="10">
        <v>0.5</v>
      </c>
      <c r="I20" s="10">
        <v>0.5</v>
      </c>
      <c r="J20" s="11">
        <f t="shared" si="1"/>
        <v>1.218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3"/>
      <c r="B21" s="3" t="s">
        <v>32</v>
      </c>
      <c r="C21" s="3"/>
      <c r="D21" s="3"/>
      <c r="E21" s="3"/>
      <c r="F21" s="3" t="s">
        <v>33</v>
      </c>
      <c r="G21" s="9">
        <v>2.150406504065</v>
      </c>
      <c r="H21" s="10">
        <v>0.5</v>
      </c>
      <c r="I21" s="10">
        <v>0.5</v>
      </c>
      <c r="J21" s="11">
        <f t="shared" si="1"/>
        <v>1.075203252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3"/>
      <c r="B22" s="3" t="s">
        <v>34</v>
      </c>
      <c r="C22" s="3"/>
      <c r="D22" s="3"/>
      <c r="E22" s="3"/>
      <c r="F22" s="3" t="s">
        <v>29</v>
      </c>
      <c r="G22" s="9">
        <v>2.150406504065</v>
      </c>
      <c r="H22" s="10">
        <v>0.5</v>
      </c>
      <c r="I22" s="10">
        <v>0.5</v>
      </c>
      <c r="J22" s="11">
        <f t="shared" si="1"/>
        <v>1.075203252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3"/>
      <c r="B23" s="3" t="s">
        <v>35</v>
      </c>
      <c r="C23" s="3"/>
      <c r="D23" s="3"/>
      <c r="E23" s="3"/>
      <c r="F23" s="3" t="s">
        <v>27</v>
      </c>
      <c r="G23" s="9">
        <v>2.150406504065</v>
      </c>
      <c r="H23" s="10">
        <v>0.5</v>
      </c>
      <c r="I23" s="10">
        <v>0.5</v>
      </c>
      <c r="J23" s="11">
        <f t="shared" si="1"/>
        <v>1.075203252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3"/>
      <c r="B24" s="3" t="s">
        <v>36</v>
      </c>
      <c r="C24" s="3"/>
      <c r="D24" s="3"/>
      <c r="E24" s="3"/>
      <c r="F24" s="3" t="s">
        <v>14</v>
      </c>
      <c r="G24" s="9">
        <v>1.624</v>
      </c>
      <c r="H24" s="10">
        <v>0.5</v>
      </c>
      <c r="I24" s="10">
        <v>0.5</v>
      </c>
      <c r="J24" s="11">
        <f t="shared" si="1"/>
        <v>0.812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3"/>
      <c r="B25" s="3" t="s">
        <v>37</v>
      </c>
      <c r="C25" s="3"/>
      <c r="D25" s="3"/>
      <c r="E25" s="3"/>
      <c r="F25" s="3" t="s">
        <v>10</v>
      </c>
      <c r="G25" s="9">
        <v>1.624</v>
      </c>
      <c r="H25" s="10">
        <v>0.5</v>
      </c>
      <c r="I25" s="10">
        <v>0.5</v>
      </c>
      <c r="J25" s="11">
        <f t="shared" si="1"/>
        <v>0.812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3"/>
      <c r="B26" s="3" t="s">
        <v>38</v>
      </c>
      <c r="C26" s="3"/>
      <c r="D26" s="3"/>
      <c r="E26" s="3"/>
      <c r="F26" s="3" t="s">
        <v>10</v>
      </c>
      <c r="G26" s="9">
        <v>1.62276</v>
      </c>
      <c r="H26" s="10">
        <v>0.5</v>
      </c>
      <c r="I26" s="10">
        <v>0.5</v>
      </c>
      <c r="J26" s="11">
        <f t="shared" si="1"/>
        <v>0.81138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3"/>
      <c r="B27" s="3" t="s">
        <v>39</v>
      </c>
      <c r="C27" s="3"/>
      <c r="D27" s="3"/>
      <c r="E27" s="3"/>
      <c r="F27" s="3" t="s">
        <v>14</v>
      </c>
      <c r="G27" s="9">
        <v>1.0752032520325</v>
      </c>
      <c r="H27" s="10">
        <v>0.5</v>
      </c>
      <c r="I27" s="10">
        <v>0.5</v>
      </c>
      <c r="J27" s="11">
        <f t="shared" si="1"/>
        <v>0.537601626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3"/>
      <c r="B29" s="3"/>
      <c r="C29" s="3"/>
      <c r="D29" s="3"/>
      <c r="E29" s="3"/>
      <c r="F29" s="3"/>
      <c r="G29" s="3"/>
      <c r="H29" s="12" t="s">
        <v>40</v>
      </c>
      <c r="I29" s="13"/>
      <c r="J29" s="14">
        <f>SUM(J6:J27)</f>
        <v>126.3658361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3"/>
      <c r="B30" s="9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